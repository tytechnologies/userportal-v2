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Upwork\hi\housing-interactive-user-portal\public\report-templates\"/>
    </mc:Choice>
  </mc:AlternateContent>
  <xr:revisionPtr revIDLastSave="0" documentId="13_ncr:1_{B522E069-C8CE-4061-A4FF-A3E671682092}" xr6:coauthVersionLast="47" xr6:coauthVersionMax="47" xr10:uidLastSave="{00000000-0000-0000-0000-000000000000}"/>
  <bookViews>
    <workbookView xWindow="3555" yWindow="2205" windowWidth="23010" windowHeight="12210" xr2:uid="{61CF815F-3D59-412D-B452-8990BEAAAE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" i="1" l="1"/>
  <c r="E22" i="1" s="1"/>
  <c r="E15" i="1"/>
  <c r="E14" i="1"/>
  <c r="E10" i="1"/>
  <c r="E13" i="1"/>
  <c r="E8" i="1"/>
  <c r="E6" i="1"/>
  <c r="E7" i="1"/>
</calcChain>
</file>

<file path=xl/sharedStrings.xml><?xml version="1.0" encoding="utf-8"?>
<sst xmlns="http://schemas.openxmlformats.org/spreadsheetml/2006/main" count="17" uniqueCount="17">
  <si>
    <t>TAX COMPUTATION</t>
  </si>
  <si>
    <t>Zonal Value Price:</t>
  </si>
  <si>
    <t>Selling Price</t>
  </si>
  <si>
    <t>CGT</t>
  </si>
  <si>
    <t>Broker's Com:</t>
  </si>
  <si>
    <t>TOTAL SELLER:</t>
  </si>
  <si>
    <t>BUYER SIDE:</t>
  </si>
  <si>
    <t>DOCUMENTARY STAMP TAX:</t>
  </si>
  <si>
    <t>TRANSFER TAX:</t>
  </si>
  <si>
    <t>RESIGISTRATION FEE:</t>
  </si>
  <si>
    <t>MISC</t>
  </si>
  <si>
    <t>PROCESSING FEE:</t>
  </si>
  <si>
    <t>standard is 45,000</t>
  </si>
  <si>
    <t>Condo Membership Fee</t>
  </si>
  <si>
    <t>Assoc dues per SQM</t>
  </si>
  <si>
    <t>TOTAL BUYER SIDE:</t>
  </si>
  <si>
    <t>TOTAL ALL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</si>
</sst>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  <font>
      <b/>
      <sz val="15"/>
      <color theme="1"/>
      <name val="Calibri"/>
      <family val="2"/>
    </font>
    <font>
      <b/>
      <sz val="10"/>
      <color theme="1"/>
      <name val="Calibri"/>
      <family val="2"/>
    </font>
    <font>
      <i/>
      <sz val="8"/>
      <color theme="1"/>
      <name val="Calibri"/>
      <family val="2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F2CC"/>
        <bgColor indexed="64"/>
      </patternFill>
    </fill>
  </fills>
  <borders count="41">
    <border>
      <left/>
      <right/>
      <top/>
      <bottom/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thick">
        <color rgb="FFFFFFFF"/>
      </right>
      <top style="medium">
        <color rgb="FFCCCCCC"/>
      </top>
      <bottom style="thick">
        <color rgb="FFFFFFFF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FFFFFF"/>
      </bottom>
      <diagonal/>
    </border>
    <border>
      <left style="medium">
        <color rgb="FFCCCCCC"/>
      </left>
      <right style="thick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/>
      <diagonal/>
    </border>
    <border>
      <left style="medium">
        <color rgb="FFCCCCCC"/>
      </left>
      <right style="thick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thick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thick">
        <color rgb="FF000000"/>
      </left>
      <right/>
      <top style="thick">
        <color rgb="FFFFFFFF"/>
      </top>
      <bottom style="medium">
        <color rgb="FFCCCCCC"/>
      </bottom>
      <diagonal/>
    </border>
    <border>
      <left/>
      <right/>
      <top style="thick">
        <color rgb="FFFFFFFF"/>
      </top>
      <bottom style="medium">
        <color rgb="FFCCCCCC"/>
      </bottom>
      <diagonal/>
    </border>
    <border>
      <left/>
      <right style="thick">
        <color rgb="FF000000"/>
      </right>
      <top style="thick">
        <color rgb="FFFFFFFF"/>
      </top>
      <bottom style="medium">
        <color rgb="FFCCCCCC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/>
      <diagonal/>
    </border>
    <border>
      <left style="thick">
        <color rgb="FF000000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/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ck">
        <color rgb="FF000000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FFFFFF"/>
      </right>
      <top style="medium">
        <color rgb="FF000000"/>
      </top>
      <bottom style="medium">
        <color rgb="FFFFFFFF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medium">
        <color rgb="FFFFFFFF"/>
      </bottom>
      <diagonal/>
    </border>
    <border>
      <left style="thick">
        <color rgb="FF000000"/>
      </left>
      <right style="medium">
        <color rgb="FFFFFFFF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9" fontId="2" fillId="0" borderId="12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10" fontId="2" fillId="0" borderId="12" xfId="0" applyNumberFormat="1" applyFont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1" fillId="2" borderId="15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right" vertical="center" wrapText="1"/>
    </xf>
    <xf numFmtId="0" fontId="1" fillId="0" borderId="16" xfId="0" applyFont="1" applyBorder="1" applyAlignment="1">
      <alignment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20" xfId="0" applyFont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4" fillId="0" borderId="22" xfId="0" applyFont="1" applyBorder="1" applyAlignment="1">
      <alignment vertical="center" wrapText="1"/>
    </xf>
    <xf numFmtId="0" fontId="2" fillId="0" borderId="26" xfId="0" applyFont="1" applyBorder="1" applyAlignment="1">
      <alignment vertical="center" wrapText="1"/>
    </xf>
    <xf numFmtId="0" fontId="2" fillId="0" borderId="27" xfId="0" applyFont="1" applyBorder="1" applyAlignment="1">
      <alignment vertical="center" wrapText="1"/>
    </xf>
    <xf numFmtId="0" fontId="4" fillId="3" borderId="23" xfId="0" applyFont="1" applyFill="1" applyBorder="1" applyAlignment="1">
      <alignment vertical="center" wrapText="1"/>
    </xf>
    <xf numFmtId="0" fontId="4" fillId="3" borderId="24" xfId="0" applyFont="1" applyFill="1" applyBorder="1" applyAlignment="1">
      <alignment vertical="center" wrapText="1"/>
    </xf>
    <xf numFmtId="0" fontId="4" fillId="3" borderId="25" xfId="0" applyFont="1" applyFill="1" applyBorder="1" applyAlignment="1">
      <alignment vertical="center" wrapText="1"/>
    </xf>
    <xf numFmtId="10" fontId="2" fillId="0" borderId="28" xfId="0" applyNumberFormat="1" applyFont="1" applyBorder="1" applyAlignment="1">
      <alignment horizontal="center" vertical="center" wrapText="1"/>
    </xf>
    <xf numFmtId="0" fontId="1" fillId="0" borderId="28" xfId="0" applyFont="1" applyBorder="1" applyAlignment="1">
      <alignment vertical="center" wrapText="1"/>
    </xf>
    <xf numFmtId="10" fontId="2" fillId="0" borderId="29" xfId="0" applyNumberFormat="1" applyFont="1" applyBorder="1" applyAlignment="1">
      <alignment horizontal="center" vertical="center" wrapText="1"/>
    </xf>
    <xf numFmtId="0" fontId="1" fillId="0" borderId="30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5" fillId="0" borderId="31" xfId="0" applyFont="1" applyBorder="1" applyAlignment="1">
      <alignment horizontal="center" vertical="center" wrapText="1"/>
    </xf>
    <xf numFmtId="0" fontId="4" fillId="0" borderId="32" xfId="0" applyFont="1" applyBorder="1" applyAlignment="1">
      <alignment vertical="center" wrapText="1"/>
    </xf>
    <xf numFmtId="0" fontId="5" fillId="0" borderId="29" xfId="0" applyFont="1" applyBorder="1" applyAlignment="1">
      <alignment horizontal="center" vertical="center" wrapText="1"/>
    </xf>
    <xf numFmtId="0" fontId="1" fillId="0" borderId="31" xfId="0" applyFont="1" applyBorder="1" applyAlignment="1">
      <alignment vertical="center" wrapText="1"/>
    </xf>
    <xf numFmtId="0" fontId="1" fillId="0" borderId="33" xfId="0" applyFont="1" applyBorder="1" applyAlignment="1">
      <alignment vertical="center" wrapText="1"/>
    </xf>
    <xf numFmtId="0" fontId="2" fillId="0" borderId="34" xfId="0" applyFont="1" applyBorder="1" applyAlignment="1">
      <alignment vertical="center" wrapText="1"/>
    </xf>
    <xf numFmtId="9" fontId="2" fillId="0" borderId="35" xfId="0" applyNumberFormat="1" applyFont="1" applyBorder="1" applyAlignment="1">
      <alignment horizontal="center" vertical="center" wrapText="1"/>
    </xf>
    <xf numFmtId="0" fontId="1" fillId="0" borderId="36" xfId="0" applyFont="1" applyBorder="1" applyAlignment="1">
      <alignment vertical="center" wrapText="1"/>
    </xf>
    <xf numFmtId="0" fontId="4" fillId="0" borderId="37" xfId="0" applyFont="1" applyBorder="1" applyAlignment="1">
      <alignment vertical="center" wrapText="1"/>
    </xf>
    <xf numFmtId="0" fontId="2" fillId="0" borderId="38" xfId="0" applyFont="1" applyBorder="1" applyAlignment="1">
      <alignment vertical="center" wrapText="1"/>
    </xf>
    <xf numFmtId="0" fontId="4" fillId="2" borderId="38" xfId="0" applyFont="1" applyFill="1" applyBorder="1" applyAlignment="1">
      <alignment vertical="center" wrapText="1"/>
    </xf>
    <xf numFmtId="0" fontId="1" fillId="0" borderId="38" xfId="0" applyFont="1" applyBorder="1" applyAlignment="1">
      <alignment vertical="center" wrapText="1"/>
    </xf>
    <xf numFmtId="0" fontId="1" fillId="4" borderId="39" xfId="0" applyFont="1" applyFill="1" applyBorder="1" applyAlignment="1">
      <alignment vertical="center" wrapText="1"/>
    </xf>
    <xf numFmtId="0" fontId="6" fillId="2" borderId="4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64645-8A25-438C-BCD1-36848E672127}">
  <dimension ref="A1:E24"/>
  <sheetViews>
    <sheetView tabSelected="1" workbookViewId="0">
      <selection activeCell="D14" sqref="D14"/>
    </sheetView>
  </sheetViews>
  <sheetFormatPr defaultRowHeight="15" x14ac:dyDescent="0.25"/>
  <cols>
    <col min="2" max="2" width="15" bestFit="1" customWidth="1"/>
    <col min="3" max="3" width="16.28515625" bestFit="1" customWidth="1"/>
    <col min="5" max="5" width="19.85546875" customWidth="1"/>
  </cols>
  <sheetData>
    <row r="1" spans="1:5" ht="15.75" thickBot="1" x14ac:dyDescent="0.3">
      <c r="A1" s="1"/>
      <c r="B1" s="3"/>
      <c r="C1" s="3"/>
      <c r="D1" s="3"/>
      <c r="E1" s="4"/>
    </row>
    <row r="2" spans="1:5" ht="21" thickTop="1" thickBot="1" x14ac:dyDescent="0.3">
      <c r="A2" s="1"/>
      <c r="B2" s="19" t="s">
        <v>0</v>
      </c>
      <c r="C2" s="20"/>
      <c r="D2" s="20"/>
      <c r="E2" s="21"/>
    </row>
    <row r="3" spans="1:5" ht="15.75" thickBot="1" x14ac:dyDescent="0.3">
      <c r="A3" s="1"/>
      <c r="B3" s="5"/>
      <c r="C3" s="5"/>
      <c r="D3" s="5"/>
      <c r="E3" s="1"/>
    </row>
    <row r="4" spans="1:5" ht="27" customHeight="1" thickBot="1" x14ac:dyDescent="0.3">
      <c r="A4" s="1"/>
      <c r="B4" s="6" t="s">
        <v>1</v>
      </c>
      <c r="C4" s="22">
        <v>54600000</v>
      </c>
      <c r="D4" s="23"/>
      <c r="E4" s="24"/>
    </row>
    <row r="5" spans="1:5" ht="15.75" thickBot="1" x14ac:dyDescent="0.3">
      <c r="A5" s="1"/>
      <c r="B5" s="6" t="s">
        <v>2</v>
      </c>
      <c r="C5" s="25">
        <v>70000000</v>
      </c>
      <c r="D5" s="26"/>
      <c r="E5" s="27"/>
    </row>
    <row r="6" spans="1:5" ht="15.75" thickBot="1" x14ac:dyDescent="0.3">
      <c r="A6" s="1"/>
      <c r="B6" s="43" t="s">
        <v>3</v>
      </c>
      <c r="C6" s="44">
        <v>0.06</v>
      </c>
      <c r="D6" s="45"/>
      <c r="E6" s="46">
        <f>C6*C4</f>
        <v>3276000</v>
      </c>
    </row>
    <row r="7" spans="1:5" ht="15.75" thickBot="1" x14ac:dyDescent="0.3">
      <c r="A7" s="1"/>
      <c r="B7" s="47" t="s">
        <v>4</v>
      </c>
      <c r="C7" s="7">
        <v>0.03</v>
      </c>
      <c r="D7" s="2"/>
      <c r="E7" s="8">
        <f>C7*C5</f>
        <v>2100000</v>
      </c>
    </row>
    <row r="8" spans="1:5" ht="15.75" thickBot="1" x14ac:dyDescent="0.3">
      <c r="A8" s="1"/>
      <c r="B8" s="48" t="s">
        <v>5</v>
      </c>
      <c r="C8" s="9"/>
      <c r="D8" s="9"/>
      <c r="E8" s="10">
        <f>SUM(E6:E7)</f>
        <v>5376000</v>
      </c>
    </row>
    <row r="9" spans="1:5" ht="15.75" thickBot="1" x14ac:dyDescent="0.3">
      <c r="A9" s="1"/>
      <c r="B9" s="30" t="s">
        <v>6</v>
      </c>
      <c r="C9" s="31"/>
      <c r="D9" s="31"/>
      <c r="E9" s="32"/>
    </row>
    <row r="10" spans="1:5" ht="39.75" customHeight="1" thickBot="1" x14ac:dyDescent="0.3">
      <c r="A10" s="1"/>
      <c r="B10" s="28" t="s">
        <v>7</v>
      </c>
      <c r="C10" s="33">
        <v>1.4999999999999999E-2</v>
      </c>
      <c r="D10" s="34"/>
      <c r="E10" s="11">
        <f>C10*C4</f>
        <v>819000</v>
      </c>
    </row>
    <row r="11" spans="1:5" ht="15.75" thickBot="1" x14ac:dyDescent="0.3">
      <c r="A11" s="1"/>
      <c r="B11" s="29"/>
      <c r="C11" s="35"/>
      <c r="D11" s="36"/>
      <c r="E11" s="37"/>
    </row>
    <row r="12" spans="1:5" ht="15.75" thickBot="1" x14ac:dyDescent="0.3">
      <c r="A12" s="1"/>
      <c r="B12" s="49"/>
      <c r="C12" s="2"/>
      <c r="D12" s="2"/>
      <c r="E12" s="1"/>
    </row>
    <row r="13" spans="1:5" ht="15.75" thickBot="1" x14ac:dyDescent="0.3">
      <c r="A13" s="1"/>
      <c r="B13" s="47" t="s">
        <v>8</v>
      </c>
      <c r="C13" s="12">
        <v>6.0000000000000001E-3</v>
      </c>
      <c r="D13" s="2"/>
      <c r="E13" s="8">
        <f>C13*C4</f>
        <v>327600</v>
      </c>
    </row>
    <row r="14" spans="1:5" ht="26.25" thickBot="1" x14ac:dyDescent="0.3">
      <c r="A14" s="1"/>
      <c r="B14" s="47" t="s">
        <v>9</v>
      </c>
      <c r="C14" s="12">
        <v>5.0000000000000001E-3</v>
      </c>
      <c r="D14" s="2"/>
      <c r="E14" s="8">
        <f>C14*C4</f>
        <v>273000</v>
      </c>
    </row>
    <row r="15" spans="1:5" ht="15.75" thickBot="1" x14ac:dyDescent="0.3">
      <c r="A15" s="1"/>
      <c r="B15" s="47" t="s">
        <v>10</v>
      </c>
      <c r="C15" s="12">
        <v>3.5000000000000001E-3</v>
      </c>
      <c r="D15" s="2"/>
      <c r="E15" s="8">
        <f>C15*C4</f>
        <v>191100</v>
      </c>
    </row>
    <row r="16" spans="1:5" ht="15.75" thickBot="1" x14ac:dyDescent="0.3">
      <c r="A16" s="1"/>
      <c r="B16" s="28" t="s">
        <v>11</v>
      </c>
      <c r="C16" s="38" t="s">
        <v>12</v>
      </c>
      <c r="D16" s="2"/>
      <c r="E16" s="39">
        <v>45000</v>
      </c>
    </row>
    <row r="17" spans="1:5" ht="15.75" thickBot="1" x14ac:dyDescent="0.3">
      <c r="A17" s="1"/>
      <c r="B17" s="29"/>
      <c r="C17" s="40"/>
      <c r="D17" s="2"/>
      <c r="E17" s="37"/>
    </row>
    <row r="18" spans="1:5" ht="15.75" thickBot="1" x14ac:dyDescent="0.3">
      <c r="A18" s="1"/>
      <c r="B18" s="49"/>
      <c r="C18" s="41"/>
      <c r="D18" s="2"/>
      <c r="E18" s="1"/>
    </row>
    <row r="19" spans="1:5" ht="26.25" thickBot="1" x14ac:dyDescent="0.3">
      <c r="A19" s="1"/>
      <c r="B19" s="47" t="s">
        <v>13</v>
      </c>
      <c r="C19" s="42"/>
      <c r="D19" s="2"/>
      <c r="E19" s="1"/>
    </row>
    <row r="20" spans="1:5" ht="26.25" thickBot="1" x14ac:dyDescent="0.3">
      <c r="A20" s="1"/>
      <c r="B20" s="47" t="s">
        <v>14</v>
      </c>
      <c r="C20" s="36"/>
      <c r="D20" s="2"/>
      <c r="E20" s="1"/>
    </row>
    <row r="21" spans="1:5" ht="15.75" thickBot="1" x14ac:dyDescent="0.3">
      <c r="A21" s="1"/>
      <c r="B21" s="50"/>
      <c r="C21" s="13" t="s">
        <v>15</v>
      </c>
      <c r="D21" s="14"/>
      <c r="E21" s="15">
        <f>SUM(E10:E20)</f>
        <v>1655700</v>
      </c>
    </row>
    <row r="22" spans="1:5" ht="16.5" thickBot="1" x14ac:dyDescent="0.3">
      <c r="A22" s="1"/>
      <c r="B22" s="51" t="s">
        <v>16</v>
      </c>
      <c r="C22" s="16"/>
      <c r="D22" s="16"/>
      <c r="E22" s="17">
        <f>C5+E21</f>
        <v>71655700</v>
      </c>
    </row>
    <row r="23" spans="1:5" ht="15.75" thickBot="1" x14ac:dyDescent="0.3">
      <c r="A23" s="2"/>
      <c r="B23" s="2"/>
      <c r="C23" s="2"/>
      <c r="D23" s="2"/>
      <c r="E23" s="2"/>
    </row>
    <row r="24" spans="1:5" ht="15.75" thickBot="1" x14ac:dyDescent="0.3">
      <c r="A24" s="18"/>
      <c r="B24" s="2"/>
      <c r="C24" s="2"/>
      <c r="D24" s="2"/>
      <c r="E24" s="2"/>
    </row>
  </sheetData>
  <mergeCells count="3">
    <mergeCell ref="B2:E2"/>
    <mergeCell ref="C4:E4"/>
    <mergeCell ref="C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Eduard</dc:creator>
  <cp:lastModifiedBy>Andrei Eduard</cp:lastModifiedBy>
  <dcterms:created xsi:type="dcterms:W3CDTF">2025-05-09T01:54:29Z</dcterms:created>
  <dcterms:modified xsi:type="dcterms:W3CDTF">2025-05-09T02:08:45Z</dcterms:modified>
</cp:coreProperties>
</file>